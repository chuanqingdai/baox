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740" tabRatio="765"/>
  </bookViews>
  <sheets>
    <sheet name="日活动量打卡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<sst xmlns="http://schemas.openxmlformats.org/spreadsheetml/2006/main" count="32" uniqueCount="31">
  <si>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日活动量管理表（杨晋楠）</t>
  </si>
  <si>
    <t>日期</t>
  </si>
  <si>
    <t>朋友圈
（1分）</t>
  </si>
  <si>
    <t>新增好友
（1分）</t>
  </si>
  <si>
    <t>文章|视频
（1分）</t>
  </si>
  <si>
    <t>约访
（1分）</t>
  </si>
  <si>
    <t>需求分析
（2分）</t>
  </si>
  <si>
    <t>方案呈现
（3分）</t>
  </si>
  <si>
    <t>促成签单
（5分）</t>
  </si>
  <si>
    <t>成交家庭数
（不计）</t>
  </si>
  <si>
    <t>转介绍
（1分）</t>
  </si>
  <si>
    <t>客户服务
（1分）</t>
  </si>
  <si>
    <t>约聊增员
（1分）</t>
  </si>
  <si>
    <t>入职增员
（5分）</t>
  </si>
  <si>
    <t>总分</t>
  </si>
  <si>
    <t>周总分</t>
  </si>
  <si>
    <t>周保费</t>
  </si>
  <si>
    <t>每周1.75万
完成率</t>
  </si>
  <si>
    <t>成交保费
（计入MDRT）</t>
  </si>
  <si>
    <t>件均</t>
  </si>
  <si>
    <t>总</t>
  </si>
  <si>
    <t>计入MDRT的总保费</t>
  </si>
  <si>
    <t>成功方程式</t>
  </si>
  <si>
    <t>约访成功率</t>
  </si>
  <si>
    <t>参考值：≥50%</t>
  </si>
  <si>
    <t>目标月保费70000元
目标周保费1.75万元</t>
  </si>
  <si>
    <t>面谈成功率</t>
  </si>
  <si>
    <t>参考值：≥67%</t>
  </si>
  <si>
    <t>方案促成率</t>
  </si>
  <si>
    <t>约访：需求分析：方案呈现：成交=15：9：6：3</t>
  </si>
  <si>
    <t>计分说明：
1 朋友圈：一条1分，不限内容 
2 输入文章视频号等：一条1分，不限内容 
3 约访：一人1分，有约对方做进一步需求分析沟通动作就算，成败不限 
4 初次面谈：一次2分，即需求分析 
5 二次面谈：一次3分，即方案呈现 
6 促成签单：成交一个单子5分，不限险种不限人数 
7 转介绍：一人1分，自己开口要或者客户主动来的都算 
8 客户服务：一人1分，除以上行动外，老客户的续保理赔下午茶叙旧都算。跟进阶段询问，修改方案也算。但是第一次需求分析方案呈现不算。
9 其他：
   1）约谈增员：一人1分
   2）入职增员：一人1分，只要录入系统就算
   3）接触：一人1分，除了上面，只要接触人都算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</si>
</sst>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%"/>
    <numFmt numFmtId="178" formatCode="0_ 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8"/>
      <name val="微软雅黑"/>
      <charset val="134"/>
    </font>
    <font>
      <b/>
      <sz val="12"/>
      <color theme="1"/>
      <name val="微软雅黑"/>
      <charset val="134"/>
    </font>
    <font>
      <b/>
      <sz val="14"/>
      <color theme="0"/>
      <name val="微软雅黑"/>
      <charset val="134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18" applyNumberFormat="0" applyAlignment="0" applyProtection="0">
      <alignment vertical="center"/>
    </xf>
    <xf numFmtId="0" fontId="15" fillId="11" borderId="19" applyNumberFormat="0" applyAlignment="0" applyProtection="0">
      <alignment vertical="center"/>
    </xf>
    <xf numFmtId="0" fontId="16" fillId="11" borderId="18" applyNumberFormat="0" applyAlignment="0" applyProtection="0">
      <alignment vertical="center"/>
    </xf>
    <xf numFmtId="0" fontId="17" fillId="12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76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7" fontId="1" fillId="5" borderId="1" xfId="0" applyNumberFormat="1" applyFont="1" applyFill="1" applyBorder="1" applyAlignment="1">
      <alignment horizontal="center" vertical="center"/>
    </xf>
    <xf numFmtId="178" fontId="1" fillId="5" borderId="1" xfId="0" applyNumberFormat="1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7" fontId="1" fillId="6" borderId="2" xfId="0" applyNumberFormat="1" applyFont="1" applyFill="1" applyBorder="1" applyAlignment="1">
      <alignment horizontal="center" vertical="center"/>
    </xf>
    <xf numFmtId="178" fontId="1" fillId="6" borderId="2" xfId="0" applyNumberFormat="1" applyFont="1" applyFill="1" applyBorder="1" applyAlignment="1">
      <alignment horizontal="center" vertical="center"/>
    </xf>
    <xf numFmtId="177" fontId="1" fillId="6" borderId="3" xfId="0" applyNumberFormat="1" applyFont="1" applyFill="1" applyBorder="1" applyAlignment="1">
      <alignment horizontal="center" vertical="center"/>
    </xf>
    <xf numFmtId="178" fontId="1" fillId="6" borderId="3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7" borderId="1" xfId="0" applyFont="1" applyFill="1" applyBorder="1" applyAlignment="1">
      <alignment vertical="top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tabSelected="1" zoomScale="57" zoomScaleNormal="57" workbookViewId="0">
      <selection activeCell="Y18" sqref="Y18"/>
    </sheetView>
  </sheetViews>
  <sheetFormatPr defaultColWidth="9.63461538461538" defaultRowHeight="17.6"/>
  <cols>
    <col min="1" max="1" width="14.2692307692308" style="1" customWidth="1"/>
    <col min="2" max="3" width="12.2692307692308" style="1" customWidth="1"/>
    <col min="4" max="4" width="11.8173076923077" style="1" customWidth="1"/>
    <col min="5" max="5" width="12.8173076923077" style="1" customWidth="1"/>
    <col min="6" max="6" width="12.4519230769231" style="1" customWidth="1"/>
    <col min="7" max="8" width="13" style="1" customWidth="1"/>
    <col min="9" max="9" width="12.6346153846154" style="1" customWidth="1"/>
    <col min="10" max="10" width="12" style="1" customWidth="1"/>
    <col min="11" max="13" width="12.1826923076923" style="1" customWidth="1"/>
    <col min="14" max="14" width="10.4519230769231" style="1"/>
    <col min="15" max="15" width="9.63461538461538" style="1"/>
    <col min="16" max="16" width="12.1826923076923" style="1"/>
    <col min="17" max="17" width="13.9038461538462" style="1" customWidth="1"/>
    <col min="18" max="18" width="16.6346153846154" style="1" customWidth="1"/>
    <col min="19" max="19" width="11.4519230769231" style="1" customWidth="1"/>
    <col min="20" max="16380" width="9.63461538461538" style="1"/>
    <col min="16381" max="16384" width="9.63461538461538" style="2"/>
  </cols>
  <sheetData>
    <row r="1" s="1" customFormat="1" ht="34" customHeight="1" spans="1:1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="1" customFormat="1" ht="34" customHeight="1" spans="1:1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4" t="s">
        <v>14</v>
      </c>
      <c r="O2" s="4" t="s">
        <v>15</v>
      </c>
      <c r="P2" s="4" t="s">
        <v>16</v>
      </c>
      <c r="Q2" s="5" t="s">
        <v>17</v>
      </c>
      <c r="R2" s="5" t="s">
        <v>18</v>
      </c>
      <c r="S2" s="4" t="s">
        <v>19</v>
      </c>
    </row>
    <row r="3" s="1" customFormat="1" spans="1:19">
      <c r="A3" s="6">
        <v>44707</v>
      </c>
      <c r="B3" s="7">
        <v>1</v>
      </c>
      <c r="C3" s="7">
        <v>1</v>
      </c>
      <c r="D3" s="7"/>
      <c r="E3" s="7"/>
      <c r="F3" s="7">
        <v>2</v>
      </c>
      <c r="G3" s="7"/>
      <c r="H3" s="7"/>
      <c r="I3" s="7"/>
      <c r="J3" s="7">
        <v>1</v>
      </c>
      <c r="K3" s="7">
        <v>3</v>
      </c>
      <c r="L3" s="7">
        <v>3</v>
      </c>
      <c r="M3" s="7"/>
      <c r="N3" s="7">
        <f t="shared" ref="N3:N32" si="0">B3+C3+D3+E3+F3*2+G3*3+H3*5+J3+K3+L3+M3*5</f>
        <v>13</v>
      </c>
      <c r="O3" s="7">
        <f>N3+N4+N5+N6</f>
        <v>43</v>
      </c>
      <c r="P3" s="8">
        <f>R3+R4+R5+R6</f>
        <v>5021</v>
      </c>
      <c r="Q3" s="9">
        <f>P3/8750</f>
        <v>0.573828571428571</v>
      </c>
      <c r="R3" s="7"/>
      <c r="S3" s="10">
        <f>P3/(H3+H4+H5+H6)</f>
        <v>1673.66666666667</v>
      </c>
    </row>
    <row r="4" s="1" customFormat="1" spans="1:19">
      <c r="A4" s="6">
        <v>44708</v>
      </c>
      <c r="B4" s="7">
        <v>4</v>
      </c>
      <c r="C4" s="7">
        <v>1</v>
      </c>
      <c r="D4" s="7">
        <v>1</v>
      </c>
      <c r="E4" s="7"/>
      <c r="F4" s="7"/>
      <c r="G4" s="7">
        <v>1</v>
      </c>
      <c r="H4" s="7">
        <v>3</v>
      </c>
      <c r="I4" s="7">
        <v>1</v>
      </c>
      <c r="J4" s="7">
        <v>1</v>
      </c>
      <c r="K4" s="7"/>
      <c r="L4" s="7">
        <v>1</v>
      </c>
      <c r="M4" s="7"/>
      <c r="N4" s="7">
        <f t="shared" si="0"/>
        <v>26</v>
      </c>
      <c r="O4" s="7"/>
      <c r="P4" s="11"/>
      <c r="Q4" s="12"/>
      <c r="R4" s="7">
        <f>3674+197+962+188</f>
        <v>5021</v>
      </c>
      <c r="S4" s="10"/>
    </row>
    <row r="5" s="1" customFormat="1" spans="1:19">
      <c r="A5" s="6">
        <v>44709</v>
      </c>
      <c r="B5" s="7">
        <v>1</v>
      </c>
      <c r="C5" s="7">
        <v>1</v>
      </c>
      <c r="D5" s="7"/>
      <c r="E5" s="7"/>
      <c r="F5" s="7"/>
      <c r="G5" s="7"/>
      <c r="H5" s="7"/>
      <c r="I5" s="7"/>
      <c r="J5" s="7"/>
      <c r="K5" s="7">
        <v>1</v>
      </c>
      <c r="L5" s="7"/>
      <c r="M5" s="7"/>
      <c r="N5" s="7">
        <f t="shared" si="0"/>
        <v>3</v>
      </c>
      <c r="O5" s="8"/>
      <c r="P5" s="11"/>
      <c r="Q5" s="12"/>
      <c r="R5" s="7"/>
      <c r="S5" s="13"/>
    </row>
    <row r="6" s="1" customFormat="1" spans="1:19">
      <c r="A6" s="6">
        <v>44710</v>
      </c>
      <c r="B6" s="7">
        <v>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>
        <f t="shared" si="0"/>
        <v>1</v>
      </c>
      <c r="O6" s="8"/>
      <c r="P6" s="11"/>
      <c r="Q6" s="12"/>
      <c r="R6" s="7"/>
      <c r="S6" s="13"/>
    </row>
    <row r="7" s="1" customFormat="1" spans="1:19">
      <c r="A7" s="14">
        <v>44711</v>
      </c>
      <c r="B7" s="15">
        <v>1</v>
      </c>
      <c r="C7" s="15"/>
      <c r="D7" s="15"/>
      <c r="E7" s="15"/>
      <c r="F7" s="15"/>
      <c r="G7" s="15">
        <v>1</v>
      </c>
      <c r="H7" s="15"/>
      <c r="I7" s="15"/>
      <c r="J7" s="15"/>
      <c r="K7" s="15">
        <v>6</v>
      </c>
      <c r="L7" s="15"/>
      <c r="M7" s="15"/>
      <c r="N7" s="15">
        <f t="shared" si="0"/>
        <v>10</v>
      </c>
      <c r="O7" s="15">
        <f>N10+N11+N12+N13+N1+N9+N8+N7</f>
        <v>93</v>
      </c>
      <c r="P7" s="15">
        <f>SUM(R7:R13)</f>
        <v>7130</v>
      </c>
      <c r="Q7" s="16">
        <f>P7/17500</f>
        <v>0.407428571428571</v>
      </c>
      <c r="R7" s="15"/>
      <c r="S7" s="17">
        <f>P7/(H11+H12+H13+H7+H8+H9+H10)</f>
        <v>1018.57142857143</v>
      </c>
    </row>
    <row r="8" s="1" customFormat="1" spans="1:19">
      <c r="A8" s="14">
        <v>44712</v>
      </c>
      <c r="B8" s="15">
        <v>5</v>
      </c>
      <c r="C8" s="15">
        <v>2</v>
      </c>
      <c r="D8" s="15"/>
      <c r="E8" s="15">
        <v>1</v>
      </c>
      <c r="F8" s="15"/>
      <c r="G8" s="15">
        <v>2</v>
      </c>
      <c r="H8" s="15"/>
      <c r="I8" s="15"/>
      <c r="J8" s="15">
        <v>1</v>
      </c>
      <c r="K8" s="15">
        <v>2</v>
      </c>
      <c r="L8" s="15"/>
      <c r="M8" s="15"/>
      <c r="N8" s="15">
        <f t="shared" si="0"/>
        <v>17</v>
      </c>
      <c r="O8" s="15"/>
      <c r="P8" s="15"/>
      <c r="Q8" s="16"/>
      <c r="R8" s="15"/>
      <c r="S8" s="17"/>
    </row>
    <row r="9" s="1" customFormat="1" spans="1:19">
      <c r="A9" s="14">
        <v>44713</v>
      </c>
      <c r="B9" s="15">
        <v>1</v>
      </c>
      <c r="C9" s="15">
        <v>1</v>
      </c>
      <c r="D9" s="15"/>
      <c r="E9" s="15"/>
      <c r="F9" s="15">
        <v>1</v>
      </c>
      <c r="G9" s="15">
        <v>1</v>
      </c>
      <c r="H9" s="15">
        <v>3</v>
      </c>
      <c r="I9" s="15">
        <v>2</v>
      </c>
      <c r="J9" s="15"/>
      <c r="K9" s="15">
        <v>3</v>
      </c>
      <c r="L9" s="15"/>
      <c r="M9" s="15"/>
      <c r="N9" s="15">
        <f t="shared" si="0"/>
        <v>25</v>
      </c>
      <c r="O9" s="15"/>
      <c r="P9" s="15"/>
      <c r="Q9" s="16"/>
      <c r="R9" s="15">
        <f>197+197+380</f>
        <v>774</v>
      </c>
      <c r="S9" s="17"/>
    </row>
    <row r="10" s="1" customFormat="1" spans="1:19">
      <c r="A10" s="14">
        <v>44714</v>
      </c>
      <c r="B10" s="15">
        <v>1</v>
      </c>
      <c r="C10" s="15"/>
      <c r="D10" s="15"/>
      <c r="E10" s="15"/>
      <c r="F10" s="15"/>
      <c r="G10" s="15">
        <v>1</v>
      </c>
      <c r="H10" s="15">
        <v>3</v>
      </c>
      <c r="I10" s="15"/>
      <c r="J10" s="15"/>
      <c r="K10" s="15">
        <v>3</v>
      </c>
      <c r="L10" s="15"/>
      <c r="M10" s="15"/>
      <c r="N10" s="15">
        <f t="shared" si="0"/>
        <v>22</v>
      </c>
      <c r="O10" s="15"/>
      <c r="P10" s="15"/>
      <c r="Q10" s="16"/>
      <c r="R10" s="15">
        <f>500+5021+440</f>
        <v>5961</v>
      </c>
      <c r="S10" s="17"/>
    </row>
    <row r="11" s="1" customFormat="1" spans="1:19">
      <c r="A11" s="14">
        <v>44715</v>
      </c>
      <c r="B11" s="15">
        <v>3</v>
      </c>
      <c r="C11" s="15"/>
      <c r="D11" s="15"/>
      <c r="E11" s="15">
        <v>1</v>
      </c>
      <c r="F11" s="15"/>
      <c r="G11" s="15"/>
      <c r="H11" s="15">
        <v>1</v>
      </c>
      <c r="I11" s="15">
        <v>1</v>
      </c>
      <c r="J11" s="15"/>
      <c r="K11" s="15">
        <v>2</v>
      </c>
      <c r="L11" s="15"/>
      <c r="M11" s="15"/>
      <c r="N11" s="15">
        <f t="shared" si="0"/>
        <v>11</v>
      </c>
      <c r="O11" s="15"/>
      <c r="P11" s="15"/>
      <c r="Q11" s="16"/>
      <c r="R11" s="15">
        <v>395</v>
      </c>
      <c r="S11" s="17"/>
    </row>
    <row r="12" s="1" customFormat="1" spans="1:19">
      <c r="A12" s="14">
        <v>44716</v>
      </c>
      <c r="B12" s="15">
        <v>0</v>
      </c>
      <c r="C12" s="15">
        <v>1</v>
      </c>
      <c r="D12" s="15"/>
      <c r="E12" s="15"/>
      <c r="F12" s="15">
        <v>1</v>
      </c>
      <c r="G12" s="15"/>
      <c r="H12" s="15"/>
      <c r="I12" s="15"/>
      <c r="J12" s="15"/>
      <c r="K12" s="15">
        <v>1</v>
      </c>
      <c r="L12" s="15"/>
      <c r="M12" s="15"/>
      <c r="N12" s="15">
        <f t="shared" si="0"/>
        <v>4</v>
      </c>
      <c r="O12" s="15"/>
      <c r="P12" s="15"/>
      <c r="Q12" s="16"/>
      <c r="R12" s="15"/>
      <c r="S12" s="17"/>
    </row>
    <row r="13" s="1" customFormat="1" spans="1:19">
      <c r="A13" s="14">
        <v>44717</v>
      </c>
      <c r="B13" s="15">
        <v>0</v>
      </c>
      <c r="C13" s="15">
        <v>3</v>
      </c>
      <c r="D13" s="15"/>
      <c r="E13" s="15"/>
      <c r="F13" s="15"/>
      <c r="G13" s="15"/>
      <c r="H13" s="15"/>
      <c r="I13" s="15"/>
      <c r="J13" s="15"/>
      <c r="K13" s="15">
        <v>1</v>
      </c>
      <c r="L13" s="15"/>
      <c r="M13" s="15"/>
      <c r="N13" s="15">
        <f t="shared" si="0"/>
        <v>4</v>
      </c>
      <c r="O13" s="15"/>
      <c r="P13" s="15"/>
      <c r="Q13" s="16"/>
      <c r="R13" s="15"/>
      <c r="S13" s="17"/>
    </row>
    <row r="14" s="1" customFormat="1" spans="1:19">
      <c r="A14" s="18">
        <v>44718</v>
      </c>
      <c r="B14" s="19">
        <v>4</v>
      </c>
      <c r="C14" s="19"/>
      <c r="D14" s="19"/>
      <c r="E14" s="19"/>
      <c r="F14" s="19">
        <v>1</v>
      </c>
      <c r="G14" s="19">
        <v>2</v>
      </c>
      <c r="H14" s="19"/>
      <c r="I14" s="19"/>
      <c r="J14" s="19"/>
      <c r="K14" s="19">
        <v>6</v>
      </c>
      <c r="L14" s="19"/>
      <c r="M14" s="19"/>
      <c r="N14" s="19">
        <f t="shared" si="0"/>
        <v>18</v>
      </c>
      <c r="O14" s="19">
        <f>N18+N19+N20+N14+N15+N16+N17</f>
        <v>130</v>
      </c>
      <c r="P14" s="19">
        <f>SUM(R14:R20)</f>
        <v>59029.26</v>
      </c>
      <c r="Q14" s="20">
        <f>P14/17500</f>
        <v>3.37310057142857</v>
      </c>
      <c r="R14" s="19"/>
      <c r="S14" s="21">
        <f>P14/(H18+H19+H20+H16+H14+H15+H17)</f>
        <v>4540.71230769231</v>
      </c>
    </row>
    <row r="15" s="1" customFormat="1" spans="1:19">
      <c r="A15" s="18">
        <v>44719</v>
      </c>
      <c r="B15" s="19">
        <v>3</v>
      </c>
      <c r="C15" s="19"/>
      <c r="D15" s="19"/>
      <c r="E15" s="19"/>
      <c r="F15" s="19"/>
      <c r="G15" s="19"/>
      <c r="H15" s="19">
        <v>1</v>
      </c>
      <c r="I15" s="19">
        <v>1</v>
      </c>
      <c r="J15" s="19"/>
      <c r="K15" s="19">
        <v>4</v>
      </c>
      <c r="L15" s="19"/>
      <c r="M15" s="19"/>
      <c r="N15" s="19">
        <f t="shared" si="0"/>
        <v>12</v>
      </c>
      <c r="O15" s="19"/>
      <c r="P15" s="19"/>
      <c r="Q15" s="20"/>
      <c r="R15" s="19">
        <v>50000</v>
      </c>
      <c r="S15" s="21"/>
    </row>
    <row r="16" s="1" customFormat="1" spans="1:19">
      <c r="A16" s="18">
        <v>44720</v>
      </c>
      <c r="B16" s="19">
        <v>4</v>
      </c>
      <c r="C16" s="19"/>
      <c r="D16" s="19"/>
      <c r="E16" s="19"/>
      <c r="F16" s="19"/>
      <c r="G16" s="19">
        <v>1</v>
      </c>
      <c r="H16" s="19">
        <v>2</v>
      </c>
      <c r="I16" s="19">
        <v>1</v>
      </c>
      <c r="J16" s="19"/>
      <c r="K16" s="19">
        <v>3</v>
      </c>
      <c r="L16" s="19">
        <v>1</v>
      </c>
      <c r="M16" s="19"/>
      <c r="N16" s="19">
        <f t="shared" si="0"/>
        <v>21</v>
      </c>
      <c r="O16" s="19"/>
      <c r="P16" s="19"/>
      <c r="Q16" s="20"/>
      <c r="R16" s="19">
        <f>3006.77+197</f>
        <v>3203.77</v>
      </c>
      <c r="S16" s="21"/>
    </row>
    <row r="17" s="1" customFormat="1" spans="1:19">
      <c r="A17" s="18">
        <v>44721</v>
      </c>
      <c r="B17" s="19">
        <v>3</v>
      </c>
      <c r="C17" s="19">
        <v>1</v>
      </c>
      <c r="D17" s="19"/>
      <c r="E17" s="19"/>
      <c r="F17" s="19"/>
      <c r="G17" s="19">
        <v>1</v>
      </c>
      <c r="H17" s="19">
        <v>8</v>
      </c>
      <c r="I17" s="19">
        <v>2</v>
      </c>
      <c r="J17" s="19"/>
      <c r="K17" s="19">
        <v>8</v>
      </c>
      <c r="L17" s="19"/>
      <c r="M17" s="19"/>
      <c r="N17" s="19">
        <f t="shared" si="0"/>
        <v>55</v>
      </c>
      <c r="O17" s="19"/>
      <c r="P17" s="19"/>
      <c r="Q17" s="20"/>
      <c r="R17" s="19">
        <f>2237.49+197+1188+375+244+279+299+299</f>
        <v>5118.49</v>
      </c>
      <c r="S17" s="21"/>
    </row>
    <row r="18" s="1" customFormat="1" spans="1:19">
      <c r="A18" s="18">
        <v>44722</v>
      </c>
      <c r="B18" s="19">
        <v>1</v>
      </c>
      <c r="C18" s="19"/>
      <c r="D18" s="19"/>
      <c r="E18" s="19"/>
      <c r="F18" s="19">
        <v>1</v>
      </c>
      <c r="G18" s="19"/>
      <c r="H18" s="19">
        <v>2</v>
      </c>
      <c r="I18" s="19">
        <v>1</v>
      </c>
      <c r="J18" s="19"/>
      <c r="K18" s="19">
        <v>5</v>
      </c>
      <c r="L18" s="19"/>
      <c r="M18" s="19"/>
      <c r="N18" s="19">
        <f t="shared" si="0"/>
        <v>18</v>
      </c>
      <c r="O18" s="19"/>
      <c r="P18" s="19"/>
      <c r="Q18" s="20"/>
      <c r="R18" s="19">
        <f>299+408</f>
        <v>707</v>
      </c>
      <c r="S18" s="21"/>
    </row>
    <row r="19" s="1" customFormat="1" spans="1:19">
      <c r="A19" s="18">
        <v>44723</v>
      </c>
      <c r="B19" s="19">
        <v>0</v>
      </c>
      <c r="C19" s="19">
        <v>3</v>
      </c>
      <c r="D19" s="19"/>
      <c r="E19" s="19"/>
      <c r="F19" s="19"/>
      <c r="G19" s="19"/>
      <c r="H19" s="19"/>
      <c r="I19" s="19"/>
      <c r="J19" s="19"/>
      <c r="K19" s="19">
        <v>0</v>
      </c>
      <c r="L19" s="19"/>
      <c r="M19" s="19"/>
      <c r="N19" s="19">
        <f t="shared" si="0"/>
        <v>3</v>
      </c>
      <c r="O19" s="19"/>
      <c r="P19" s="19"/>
      <c r="Q19" s="20"/>
      <c r="R19" s="19"/>
      <c r="S19" s="21"/>
    </row>
    <row r="20" s="1" customFormat="1" spans="1:19">
      <c r="A20" s="18">
        <v>44724</v>
      </c>
      <c r="B20" s="19">
        <v>2</v>
      </c>
      <c r="C20" s="19"/>
      <c r="D20" s="19"/>
      <c r="E20" s="19"/>
      <c r="F20" s="19"/>
      <c r="G20" s="19"/>
      <c r="H20" s="19"/>
      <c r="I20" s="19"/>
      <c r="J20" s="19"/>
      <c r="K20" s="19">
        <v>1</v>
      </c>
      <c r="L20" s="19"/>
      <c r="M20" s="19"/>
      <c r="N20" s="19">
        <f t="shared" si="0"/>
        <v>3</v>
      </c>
      <c r="O20" s="19"/>
      <c r="P20" s="19"/>
      <c r="Q20" s="20"/>
      <c r="R20" s="19"/>
      <c r="S20" s="21"/>
    </row>
    <row r="21" s="1" customFormat="1" spans="1:19">
      <c r="A21" s="22">
        <v>44725</v>
      </c>
      <c r="B21" s="23">
        <v>1</v>
      </c>
      <c r="C21" s="23">
        <v>3</v>
      </c>
      <c r="D21" s="23"/>
      <c r="E21" s="23"/>
      <c r="F21" s="23"/>
      <c r="G21" s="23"/>
      <c r="H21" s="23">
        <v>2</v>
      </c>
      <c r="I21" s="23">
        <v>2</v>
      </c>
      <c r="J21" s="23">
        <v>2</v>
      </c>
      <c r="K21" s="23">
        <v>8</v>
      </c>
      <c r="L21" s="23">
        <v>1</v>
      </c>
      <c r="M21" s="23"/>
      <c r="N21" s="23">
        <f t="shared" si="0"/>
        <v>25</v>
      </c>
      <c r="O21" s="23">
        <f>N25+N26+N27+N21+N22+N23+N24</f>
        <v>67</v>
      </c>
      <c r="P21" s="23">
        <f>SUM(R21:R27)</f>
        <v>9175.35</v>
      </c>
      <c r="Q21" s="24">
        <f>P21/17500</f>
        <v>0.524305714285714</v>
      </c>
      <c r="R21" s="23">
        <f>914.35+1861</f>
        <v>2775.35</v>
      </c>
      <c r="S21" s="25">
        <f>P21/(H25+H26+H30+H21+H22+H23+H24)</f>
        <v>1310.76428571429</v>
      </c>
    </row>
    <row r="22" s="1" customFormat="1" spans="1:19">
      <c r="A22" s="22">
        <v>44726</v>
      </c>
      <c r="B22" s="23">
        <v>1</v>
      </c>
      <c r="C22" s="23">
        <v>1</v>
      </c>
      <c r="D22" s="23"/>
      <c r="E22" s="23">
        <v>1</v>
      </c>
      <c r="F22" s="23"/>
      <c r="G22" s="23">
        <v>2</v>
      </c>
      <c r="H22" s="23"/>
      <c r="I22" s="23"/>
      <c r="J22" s="23"/>
      <c r="K22" s="23">
        <v>3</v>
      </c>
      <c r="L22" s="23"/>
      <c r="M22" s="23"/>
      <c r="N22" s="23">
        <f t="shared" si="0"/>
        <v>12</v>
      </c>
      <c r="O22" s="23"/>
      <c r="P22" s="23"/>
      <c r="Q22" s="26"/>
      <c r="R22" s="23"/>
      <c r="S22" s="27"/>
    </row>
    <row r="23" s="1" customFormat="1" spans="1:19">
      <c r="A23" s="22">
        <v>44727</v>
      </c>
      <c r="B23" s="23">
        <v>2</v>
      </c>
      <c r="C23" s="23"/>
      <c r="D23" s="23"/>
      <c r="E23" s="23"/>
      <c r="F23" s="23">
        <v>1</v>
      </c>
      <c r="G23" s="23"/>
      <c r="H23" s="23"/>
      <c r="I23" s="23"/>
      <c r="J23" s="23"/>
      <c r="K23" s="23">
        <v>2</v>
      </c>
      <c r="L23" s="23"/>
      <c r="M23" s="23"/>
      <c r="N23" s="23">
        <f t="shared" si="0"/>
        <v>6</v>
      </c>
      <c r="O23" s="23"/>
      <c r="P23" s="23"/>
      <c r="Q23" s="26"/>
      <c r="R23" s="23"/>
      <c r="S23" s="27"/>
    </row>
    <row r="24" s="1" customFormat="1" spans="1:19">
      <c r="A24" s="22">
        <v>44728</v>
      </c>
      <c r="B24" s="23">
        <v>0</v>
      </c>
      <c r="C24" s="23">
        <v>1</v>
      </c>
      <c r="D24" s="23"/>
      <c r="E24" s="23"/>
      <c r="F24" s="23"/>
      <c r="G24" s="23"/>
      <c r="H24" s="23">
        <v>1</v>
      </c>
      <c r="I24" s="23">
        <v>1</v>
      </c>
      <c r="J24" s="23">
        <v>1</v>
      </c>
      <c r="K24" s="23">
        <v>3</v>
      </c>
      <c r="L24" s="28"/>
      <c r="M24" s="23"/>
      <c r="N24" s="23">
        <f t="shared" si="0"/>
        <v>10</v>
      </c>
      <c r="O24" s="23"/>
      <c r="P24" s="23"/>
      <c r="Q24" s="26"/>
      <c r="R24" s="23">
        <v>6400</v>
      </c>
      <c r="S24" s="27"/>
    </row>
    <row r="25" s="1" customFormat="1" spans="1:19">
      <c r="A25" s="22">
        <v>44729</v>
      </c>
      <c r="B25" s="23">
        <v>2</v>
      </c>
      <c r="C25" s="23"/>
      <c r="D25" s="23"/>
      <c r="E25" s="23"/>
      <c r="F25" s="23"/>
      <c r="G25" s="23"/>
      <c r="H25" s="23"/>
      <c r="I25" s="23"/>
      <c r="J25" s="23"/>
      <c r="K25" s="23">
        <v>10</v>
      </c>
      <c r="L25" s="28"/>
      <c r="M25" s="23"/>
      <c r="N25" s="23">
        <f t="shared" si="0"/>
        <v>12</v>
      </c>
      <c r="O25" s="23"/>
      <c r="P25" s="23"/>
      <c r="Q25" s="26"/>
      <c r="R25" s="23"/>
      <c r="S25" s="27"/>
    </row>
    <row r="26" s="1" customFormat="1" spans="1:19">
      <c r="A26" s="22">
        <v>44730</v>
      </c>
      <c r="B26" s="23">
        <v>1</v>
      </c>
      <c r="C26" s="23"/>
      <c r="D26" s="23"/>
      <c r="E26" s="23"/>
      <c r="F26" s="23"/>
      <c r="G26" s="23"/>
      <c r="H26" s="23"/>
      <c r="I26" s="23"/>
      <c r="J26" s="23"/>
      <c r="K26" s="23">
        <v>1</v>
      </c>
      <c r="L26" s="28"/>
      <c r="M26" s="23"/>
      <c r="N26" s="23">
        <f t="shared" si="0"/>
        <v>2</v>
      </c>
      <c r="O26" s="23"/>
      <c r="P26" s="23"/>
      <c r="Q26" s="26"/>
      <c r="R26" s="23"/>
      <c r="S26" s="27"/>
    </row>
    <row r="27" s="1" customFormat="1" spans="1:19">
      <c r="A27" s="22">
        <v>44731</v>
      </c>
      <c r="B27" s="23">
        <v>0</v>
      </c>
      <c r="C27" s="23"/>
      <c r="D27" s="23"/>
      <c r="E27" s="23"/>
      <c r="F27" s="23"/>
      <c r="G27" s="23"/>
      <c r="H27" s="23"/>
      <c r="I27" s="23"/>
      <c r="J27" s="23"/>
      <c r="K27" s="23">
        <v>0</v>
      </c>
      <c r="L27" s="28"/>
      <c r="M27" s="23"/>
      <c r="N27" s="23">
        <f t="shared" si="0"/>
        <v>0</v>
      </c>
      <c r="O27" s="29"/>
      <c r="P27" s="29"/>
      <c r="Q27" s="26"/>
      <c r="R27" s="29"/>
      <c r="S27" s="27"/>
    </row>
    <row r="28" s="1" customFormat="1" spans="1:19">
      <c r="A28" s="6">
        <v>44732</v>
      </c>
      <c r="B28" s="7">
        <v>2</v>
      </c>
      <c r="C28" s="7">
        <v>1</v>
      </c>
      <c r="D28" s="7"/>
      <c r="E28" s="7"/>
      <c r="F28" s="7">
        <v>1</v>
      </c>
      <c r="G28" s="7">
        <v>1</v>
      </c>
      <c r="H28" s="7"/>
      <c r="I28" s="7"/>
      <c r="J28" s="7"/>
      <c r="K28" s="7">
        <v>2</v>
      </c>
      <c r="L28" s="30"/>
      <c r="M28" s="7"/>
      <c r="N28" s="7">
        <f t="shared" si="0"/>
        <v>10</v>
      </c>
      <c r="O28" s="7">
        <f>N28+N29+N30+N32+N31</f>
        <v>121</v>
      </c>
      <c r="P28" s="7">
        <f>R28+R29+R30+R32+R31</f>
        <v>8120.77</v>
      </c>
      <c r="Q28" s="24">
        <f>P28/8750</f>
        <v>0.928088</v>
      </c>
      <c r="R28" s="7"/>
      <c r="S28" s="10">
        <f>P28/(H28+H29+H30+H32)</f>
        <v>1015.09625</v>
      </c>
    </row>
    <row r="29" s="1" customFormat="1" spans="1:19">
      <c r="A29" s="6">
        <v>44733</v>
      </c>
      <c r="B29" s="7">
        <v>2</v>
      </c>
      <c r="C29" s="7"/>
      <c r="D29" s="7"/>
      <c r="E29" s="7"/>
      <c r="F29" s="7">
        <v>3</v>
      </c>
      <c r="G29" s="7">
        <v>1</v>
      </c>
      <c r="H29" s="7">
        <v>2</v>
      </c>
      <c r="I29" s="7"/>
      <c r="J29" s="7"/>
      <c r="K29" s="7">
        <v>10</v>
      </c>
      <c r="L29" s="30"/>
      <c r="M29" s="7"/>
      <c r="N29" s="7">
        <f t="shared" si="0"/>
        <v>31</v>
      </c>
      <c r="O29" s="7"/>
      <c r="P29" s="7"/>
      <c r="Q29" s="26"/>
      <c r="R29" s="7">
        <f>800+150</f>
        <v>950</v>
      </c>
      <c r="S29" s="10"/>
    </row>
    <row r="30" s="1" customFormat="1" spans="1:19">
      <c r="A30" s="6">
        <v>44734</v>
      </c>
      <c r="B30" s="7">
        <v>3</v>
      </c>
      <c r="C30" s="7"/>
      <c r="D30" s="7"/>
      <c r="E30" s="7"/>
      <c r="F30" s="7"/>
      <c r="G30" s="7">
        <v>2</v>
      </c>
      <c r="H30" s="7">
        <v>4</v>
      </c>
      <c r="I30" s="7">
        <v>2</v>
      </c>
      <c r="J30" s="7"/>
      <c r="K30" s="7">
        <v>7</v>
      </c>
      <c r="L30" s="30"/>
      <c r="M30" s="7"/>
      <c r="N30" s="7">
        <f t="shared" si="0"/>
        <v>36</v>
      </c>
      <c r="O30" s="7"/>
      <c r="P30" s="7"/>
      <c r="Q30" s="26"/>
      <c r="R30" s="7">
        <f>2000+150+299+375+150</f>
        <v>2974</v>
      </c>
      <c r="S30" s="13"/>
    </row>
    <row r="31" s="1" customFormat="1" spans="1:19">
      <c r="A31" s="6">
        <v>44735</v>
      </c>
      <c r="B31" s="7">
        <v>5</v>
      </c>
      <c r="C31" s="7"/>
      <c r="D31" s="7"/>
      <c r="E31" s="7"/>
      <c r="F31" s="7"/>
      <c r="G31" s="7">
        <v>2</v>
      </c>
      <c r="H31" s="7"/>
      <c r="I31" s="7"/>
      <c r="J31" s="7"/>
      <c r="K31" s="7">
        <v>6</v>
      </c>
      <c r="L31" s="30"/>
      <c r="M31" s="7"/>
      <c r="N31" s="7">
        <f t="shared" si="0"/>
        <v>17</v>
      </c>
      <c r="O31" s="7"/>
      <c r="P31" s="7"/>
      <c r="Q31" s="26"/>
      <c r="R31" s="7"/>
      <c r="S31" s="13"/>
    </row>
    <row r="32" s="1" customFormat="1" spans="1:19">
      <c r="A32" s="6">
        <v>44736</v>
      </c>
      <c r="B32" s="7">
        <v>3</v>
      </c>
      <c r="C32" s="7"/>
      <c r="D32" s="7"/>
      <c r="E32" s="7"/>
      <c r="F32" s="7"/>
      <c r="G32" s="7">
        <v>3</v>
      </c>
      <c r="H32" s="7">
        <v>2</v>
      </c>
      <c r="I32" s="7"/>
      <c r="J32" s="7"/>
      <c r="K32" s="7">
        <v>5</v>
      </c>
      <c r="L32" s="30"/>
      <c r="M32" s="7"/>
      <c r="N32" s="7">
        <f t="shared" si="0"/>
        <v>27</v>
      </c>
      <c r="O32" s="7"/>
      <c r="P32" s="7"/>
      <c r="Q32" s="26"/>
      <c r="R32" s="7">
        <f>150+2541.77+197+700+608</f>
        <v>4196.77</v>
      </c>
      <c r="S32" s="13"/>
    </row>
    <row r="33" s="1" customFormat="1" spans="1:19">
      <c r="A33" s="4" t="s">
        <v>20</v>
      </c>
      <c r="B33" s="4">
        <f t="shared" ref="B33:K33" si="1">SUM(B3:B30)</f>
        <v>49</v>
      </c>
      <c r="C33" s="4">
        <f t="shared" si="1"/>
        <v>20</v>
      </c>
      <c r="D33" s="4">
        <f t="shared" si="1"/>
        <v>1</v>
      </c>
      <c r="E33" s="4">
        <f t="shared" si="1"/>
        <v>3</v>
      </c>
      <c r="F33" s="4">
        <f t="shared" si="1"/>
        <v>11</v>
      </c>
      <c r="G33" s="4">
        <f t="shared" si="1"/>
        <v>16</v>
      </c>
      <c r="H33" s="4">
        <f t="shared" si="1"/>
        <v>32</v>
      </c>
      <c r="I33" s="4">
        <f t="shared" si="1"/>
        <v>14</v>
      </c>
      <c r="J33" s="31">
        <f t="shared" si="1"/>
        <v>6</v>
      </c>
      <c r="K33" s="31">
        <f t="shared" si="1"/>
        <v>95</v>
      </c>
      <c r="L33" s="32"/>
      <c r="M33" s="32"/>
      <c r="N33" s="32">
        <f>B33+D33+E33+F33*2+G33*3+H33*5+J33+K33</f>
        <v>384</v>
      </c>
      <c r="O33" s="33"/>
      <c r="P33" s="31">
        <f>P3+P7+P14+P21</f>
        <v>80355.61</v>
      </c>
      <c r="Q33" s="34">
        <f>P33/70000</f>
        <v>1.14793728571429</v>
      </c>
      <c r="R33" s="31"/>
      <c r="S33" s="31">
        <f>P33/H33</f>
        <v>2511.1128125</v>
      </c>
    </row>
    <row r="34" s="1" customFormat="1" ht="20.4" spans="1:19">
      <c r="A34" s="35" t="s">
        <v>21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6">
        <f>178103+P33</f>
        <v>258458.61</v>
      </c>
      <c r="R34" s="37"/>
      <c r="S34" s="31"/>
    </row>
    <row r="35" s="1" customFormat="1" ht="16" customHeight="1" spans="1:19">
      <c r="A35" s="38" t="s">
        <v>22</v>
      </c>
      <c r="B35" s="39"/>
      <c r="C35" s="40"/>
      <c r="D35" s="4" t="s">
        <v>23</v>
      </c>
      <c r="E35" s="4"/>
      <c r="F35" s="34">
        <f>F33/E33</f>
        <v>3.66666666666667</v>
      </c>
      <c r="G35" s="4" t="s">
        <v>24</v>
      </c>
      <c r="H35" s="4"/>
      <c r="I35" s="4"/>
      <c r="J35" s="41"/>
      <c r="K35" s="41"/>
      <c r="L35" s="41"/>
      <c r="M35" s="41"/>
      <c r="N35" s="41"/>
      <c r="O35" s="41"/>
      <c r="P35" s="42" t="s">
        <v>25</v>
      </c>
      <c r="Q35" s="43"/>
      <c r="R35" s="44"/>
      <c r="S35" s="41"/>
    </row>
    <row r="36" s="1" customFormat="1" spans="1:19">
      <c r="A36" s="45"/>
      <c r="B36" s="46"/>
      <c r="C36" s="47"/>
      <c r="D36" s="4" t="s">
        <v>26</v>
      </c>
      <c r="E36" s="4"/>
      <c r="F36" s="34">
        <f>G33/F33</f>
        <v>1.45454545454545</v>
      </c>
      <c r="G36" s="4" t="s">
        <v>27</v>
      </c>
      <c r="H36" s="4"/>
      <c r="I36" s="4"/>
      <c r="J36" s="41"/>
      <c r="K36" s="41"/>
      <c r="L36" s="41"/>
      <c r="M36" s="41"/>
      <c r="N36" s="41"/>
      <c r="O36" s="41"/>
      <c r="P36" s="48"/>
      <c r="Q36" s="49"/>
      <c r="R36" s="50"/>
      <c r="S36" s="41"/>
    </row>
    <row r="37" s="1" customFormat="1" spans="1:19">
      <c r="A37" s="51"/>
      <c r="B37" s="52"/>
      <c r="C37" s="53"/>
      <c r="D37" s="4" t="s">
        <v>28</v>
      </c>
      <c r="E37" s="4"/>
      <c r="F37" s="34">
        <f>I33/G33</f>
        <v>0.875</v>
      </c>
      <c r="G37" s="4" t="s">
        <v>24</v>
      </c>
      <c r="H37" s="4"/>
      <c r="I37" s="4"/>
      <c r="J37" s="41"/>
      <c r="K37" s="41"/>
      <c r="L37" s="41"/>
      <c r="M37" s="41"/>
      <c r="N37" s="41"/>
      <c r="O37" s="41"/>
      <c r="P37" s="48"/>
      <c r="Q37" s="49"/>
      <c r="R37" s="50"/>
      <c r="S37" s="41"/>
    </row>
    <row r="38" s="1" customFormat="1" spans="1:19">
      <c r="A38" s="54" t="s">
        <v>29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6"/>
      <c r="P38" s="57"/>
      <c r="Q38" s="58"/>
      <c r="R38" s="59"/>
      <c r="S38" s="41"/>
    </row>
    <row r="39" s="1" customFormat="1" ht="233" customHeight="1" spans="1:19">
      <c r="A39" s="60" t="s">
        <v>30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</row>
  </sheetData>
  <mergeCells count="34">
    <mergeCell ref="A1:S1"/>
    <mergeCell ref="N33:O33"/>
    <mergeCell ref="A34:P34"/>
    <mergeCell ref="Q34:R34"/>
    <mergeCell ref="D35:E35"/>
    <mergeCell ref="G35:H35"/>
    <mergeCell ref="D36:E36"/>
    <mergeCell ref="G36:H36"/>
    <mergeCell ref="D37:E37"/>
    <mergeCell ref="G37:H37"/>
    <mergeCell ref="A38:O38"/>
    <mergeCell ref="A39:S39"/>
    <mergeCell ref="O3:O6"/>
    <mergeCell ref="O7:O13"/>
    <mergeCell ref="O14:O20"/>
    <mergeCell ref="O21:O27"/>
    <mergeCell ref="O28:O32"/>
    <mergeCell ref="P3:P6"/>
    <mergeCell ref="P7:P13"/>
    <mergeCell ref="P14:P20"/>
    <mergeCell ref="P21:P27"/>
    <mergeCell ref="P28:P32"/>
    <mergeCell ref="Q3:Q6"/>
    <mergeCell ref="Q7:Q13"/>
    <mergeCell ref="Q14:Q20"/>
    <mergeCell ref="Q21:Q27"/>
    <mergeCell ref="Q28:Q32"/>
    <mergeCell ref="S3:S6"/>
    <mergeCell ref="S7:S13"/>
    <mergeCell ref="S14:S20"/>
    <mergeCell ref="S21:S27"/>
    <mergeCell ref="S28:S32"/>
    <mergeCell ref="A35:C37"/>
    <mergeCell ref="P35:R38"/>
  </mergeCells>
  <conditionalFormatting sqref="Q3">
    <cfRule type="cellIs" dxfId="0" priority="12" operator="greaterThanOrEqual">
      <formula>0.8</formula>
    </cfRule>
    <cfRule type="cellIs" dxfId="1" priority="11" operator="lessThan">
      <formula>0.8</formula>
    </cfRule>
  </conditionalFormatting>
  <conditionalFormatting sqref="Q7">
    <cfRule type="cellIs" dxfId="0" priority="10" operator="greaterThanOrEqual">
      <formula>0.8</formula>
    </cfRule>
    <cfRule type="cellIs" dxfId="1" priority="9" operator="lessThan">
      <formula>0.8</formula>
    </cfRule>
  </conditionalFormatting>
  <conditionalFormatting sqref="Q14">
    <cfRule type="cellIs" dxfId="0" priority="8" operator="greaterThanOrEqual">
      <formula>0.8</formula>
    </cfRule>
    <cfRule type="cellIs" dxfId="1" priority="7" operator="lessThan">
      <formula>0.8</formula>
    </cfRule>
  </conditionalFormatting>
  <conditionalFormatting sqref="Q21">
    <cfRule type="cellIs" dxfId="0" priority="6" operator="greaterThanOrEqual">
      <formula>0.8</formula>
    </cfRule>
    <cfRule type="cellIs" dxfId="1" priority="5" operator="lessThan">
      <formula>0.8</formula>
    </cfRule>
  </conditionalFormatting>
  <conditionalFormatting sqref="Q28">
    <cfRule type="cellIs" dxfId="0" priority="2" operator="greaterThanOrEqual">
      <formula>0.8</formula>
    </cfRule>
    <cfRule type="cellIs" dxfId="1" priority="1" operator="lessThan">
      <formula>0.8</formula>
    </cfRule>
  </conditionalFormatting>
  <conditionalFormatting sqref="Q33">
    <cfRule type="cellIs" dxfId="0" priority="4" operator="greaterThanOrEqual">
      <formula>0.8</formula>
    </cfRule>
    <cfRule type="cellIs" dxfId="1" priority="3" operator="lessThan">
      <formula>0.8</formula>
    </cfRule>
  </conditionalFormatting>
  <conditionalFormatting sqref="F35">
    <cfRule type="cellIs" dxfId="0" priority="18" operator="greaterThanOrEqual">
      <formula>0.5</formula>
    </cfRule>
    <cfRule type="cellIs" dxfId="1" priority="17" operator="lessThanOrEqual">
      <formula>0.5</formula>
    </cfRule>
  </conditionalFormatting>
  <conditionalFormatting sqref="F36">
    <cfRule type="cellIs" dxfId="1" priority="16" operator="lessThan">
      <formula>0.67</formula>
    </cfRule>
    <cfRule type="cellIs" dxfId="0" priority="15" operator="greaterThanOrEqual">
      <formula>0.67</formula>
    </cfRule>
  </conditionalFormatting>
  <conditionalFormatting sqref="F37">
    <cfRule type="cellIs" dxfId="1" priority="14" operator="lessThan">
      <formula>0.5</formula>
    </cfRule>
    <cfRule type="cellIs" dxfId="0" priority="13" operator="greaterThanOrEqual">
      <formula>0.5</formula>
    </cfRule>
  </conditionalFormatting>
  <pageMargins left="0.75" right="0.75" top="1" bottom="1" header="0.5" footer="0.5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日活动量打卡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Ginny</dc:creator>
  <cp:lastModifiedBy>尚公子</cp:lastModifiedBy>
  <dcterms:created xsi:type="dcterms:W3CDTF">2022-08-02T07:43:00Z</dcterms:created>
  <dcterms:modified xsi:type="dcterms:W3CDTF">2026-09-18T13:30:44Z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7F078EEA173329926D89E762C8EAA76D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